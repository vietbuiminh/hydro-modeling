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etbui/Developer/hydro-modeling/data/"/>
    </mc:Choice>
  </mc:AlternateContent>
  <xr:revisionPtr revIDLastSave="0" documentId="8_{4C16CFA0-6C3F-324E-A824-9CCA3C2E22CE}" xr6:coauthVersionLast="47" xr6:coauthVersionMax="47" xr10:uidLastSave="{00000000-0000-0000-0000-000000000000}"/>
  <bookViews>
    <workbookView xWindow="80" yWindow="820" windowWidth="30240" windowHeight="17840" xr2:uid="{1251D0BB-6ADE-004B-9BCE-67D4817E2578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5" i="1" l="1"/>
  <c r="U36" i="1"/>
  <c r="U37" i="1"/>
  <c r="U38" i="1"/>
  <c r="U34" i="1"/>
  <c r="T35" i="1"/>
  <c r="T36" i="1"/>
  <c r="T37" i="1"/>
  <c r="T38" i="1"/>
  <c r="T34" i="1"/>
  <c r="S35" i="1"/>
  <c r="S36" i="1"/>
  <c r="S37" i="1"/>
  <c r="S38" i="1"/>
  <c r="S34" i="1"/>
  <c r="R35" i="1"/>
  <c r="R36" i="1"/>
  <c r="R37" i="1"/>
  <c r="R38" i="1"/>
  <c r="R34" i="1"/>
  <c r="H47" i="1"/>
  <c r="H40" i="1"/>
  <c r="H33" i="1"/>
  <c r="H24" i="1"/>
  <c r="H12" i="1"/>
  <c r="H13" i="1"/>
  <c r="H14" i="1"/>
  <c r="H15" i="1"/>
  <c r="H16" i="1"/>
  <c r="H17" i="1"/>
  <c r="H18" i="1"/>
  <c r="H19" i="1"/>
  <c r="H20" i="1"/>
  <c r="H11" i="1"/>
  <c r="H48" i="1"/>
  <c r="H49" i="1"/>
  <c r="H50" i="1"/>
  <c r="H51" i="1"/>
  <c r="H52" i="1"/>
  <c r="H53" i="1"/>
  <c r="H54" i="1"/>
  <c r="H55" i="1"/>
  <c r="H56" i="1"/>
  <c r="H57" i="1"/>
  <c r="H58" i="1"/>
  <c r="H41" i="1"/>
  <c r="H42" i="1"/>
  <c r="H34" i="1"/>
  <c r="H35" i="1"/>
  <c r="H36" i="1"/>
  <c r="H25" i="1"/>
  <c r="H26" i="1"/>
  <c r="H27" i="1"/>
  <c r="H28" i="1"/>
  <c r="H29" i="1"/>
  <c r="P35" i="1"/>
  <c r="Q35" i="1" s="1"/>
  <c r="P36" i="1"/>
  <c r="Q36" i="1" s="1"/>
  <c r="P37" i="1"/>
  <c r="Q37" i="1" s="1"/>
  <c r="P38" i="1"/>
  <c r="Q38" i="1" s="1"/>
  <c r="P34" i="1"/>
  <c r="Q34" i="1" s="1"/>
</calcChain>
</file>

<file path=xl/sharedStrings.xml><?xml version="1.0" encoding="utf-8"?>
<sst xmlns="http://schemas.openxmlformats.org/spreadsheetml/2006/main" count="95" uniqueCount="41">
  <si>
    <t>Exp #</t>
  </si>
  <si>
    <t>Duration</t>
  </si>
  <si>
    <t>(min)</t>
  </si>
  <si>
    <t>(l/min)</t>
  </si>
  <si>
    <t>Head</t>
  </si>
  <si>
    <t>(m)</t>
  </si>
  <si>
    <t>(Darcy)</t>
  </si>
  <si>
    <t>Flow, Q</t>
  </si>
  <si>
    <t>Head, H</t>
  </si>
  <si>
    <t xml:space="preserve">Sand </t>
  </si>
  <si>
    <t>Column Diameter, 0.35 m</t>
  </si>
  <si>
    <t>Column Area, 0.0962 m2</t>
  </si>
  <si>
    <t>1st Series</t>
  </si>
  <si>
    <t>2nd Series</t>
  </si>
  <si>
    <t>3rd Series</t>
  </si>
  <si>
    <t>4th Series</t>
  </si>
  <si>
    <t>First Set of Experiments: Outlet at atmospheric pressure</t>
  </si>
  <si>
    <t>Test</t>
  </si>
  <si>
    <t>Second Set of Experiments: Outlet Pressurized</t>
  </si>
  <si>
    <t>Inlet</t>
  </si>
  <si>
    <t>Outlet</t>
  </si>
  <si>
    <t>-</t>
  </si>
  <si>
    <t>Length, e</t>
  </si>
  <si>
    <t>Darcy's Data</t>
    <phoneticPr fontId="1" type="noConversion"/>
  </si>
  <si>
    <t>Q</t>
  </si>
  <si>
    <t>(m3/s)</t>
  </si>
  <si>
    <t>convert to SI</t>
  </si>
  <si>
    <t>Slope</t>
  </si>
  <si>
    <t>5th Series</t>
  </si>
  <si>
    <t>R2</t>
  </si>
  <si>
    <t>K (m/s)</t>
  </si>
  <si>
    <t>K (cm/s)</t>
  </si>
  <si>
    <t>K (m/day)</t>
  </si>
  <si>
    <t>L (m)</t>
  </si>
  <si>
    <t>A (m2)</t>
  </si>
  <si>
    <t>resusing from 1)</t>
  </si>
  <si>
    <t>g (cm/s2)</t>
  </si>
  <si>
    <t>ρ_w (g/cm3)</t>
  </si>
  <si>
    <t>μ_w (g/cm*s)</t>
  </si>
  <si>
    <t>k (cm2)</t>
  </si>
  <si>
    <t>k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</si>
</sst>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8"/>
      <name val="Verdana"/>
      <family val="2"/>
    </font>
    <font>
      <b/>
      <sz val="14"/>
      <name val="NewComputerModern08-Book"/>
    </font>
    <font>
      <sz val="10"/>
      <name val="NewComputerModern08-Book"/>
    </font>
    <font>
      <b/>
      <sz val="10"/>
      <name val="NewComputerModern08-Book"/>
    </font>
    <font>
      <b/>
      <sz val="12"/>
      <name val="NewComputerModern08-Book"/>
    </font>
    <font>
      <sz val="10"/>
      <color indexed="10"/>
      <name val="NewComputerModern08-Book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5" fontId="4" fillId="0" borderId="0" xfId="0" quotePrefix="1" applyNumberFormat="1" applyFont="1"/>
    <xf numFmtId="0" fontId="4" fillId="0" borderId="7" xfId="0" applyFont="1" applyBorder="1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5" fillId="0" borderId="0" xfId="0" applyFont="1"/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6" xfId="0" applyFont="1" applyBorder="1"/>
    <xf numFmtId="0" fontId="3" fillId="0" borderId="0" xfId="0" applyFont="1" applyBorder="1"/>
    <xf numFmtId="2" fontId="3" fillId="0" borderId="0" xfId="0" applyNumberFormat="1" applyFont="1" applyBorder="1"/>
    <xf numFmtId="2" fontId="3" fillId="0" borderId="0" xfId="0" applyNumberFormat="1" applyFont="1" applyBorder="1" applyAlignment="1">
      <alignment horizontal="center"/>
    </xf>
    <xf numFmtId="0" fontId="3" fillId="0" borderId="3" xfId="0" applyFont="1" applyBorder="1"/>
    <xf numFmtId="2" fontId="3" fillId="0" borderId="4" xfId="0" applyNumberFormat="1" applyFont="1" applyBorder="1"/>
    <xf numFmtId="0" fontId="4" fillId="0" borderId="6" xfId="0" applyFont="1" applyBorder="1"/>
    <xf numFmtId="2" fontId="3" fillId="0" borderId="1" xfId="0" applyNumberFormat="1" applyFont="1" applyBorder="1"/>
    <xf numFmtId="0" fontId="5" fillId="0" borderId="4" xfId="0" applyFont="1" applyBorder="1"/>
    <xf numFmtId="0" fontId="6" fillId="0" borderId="0" xfId="0" applyFont="1" applyBorder="1"/>
    <xf numFmtId="0" fontId="3" fillId="0" borderId="0" xfId="0" applyFont="1" applyAlignment="1">
      <alignment horizontal="center"/>
    </xf>
    <xf numFmtId="0" fontId="3" fillId="0" borderId="8" xfId="0" applyFont="1" applyBorder="1"/>
    <xf numFmtId="11" fontId="3" fillId="0" borderId="8" xfId="0" applyNumberFormat="1" applyFont="1" applyBorder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trendline>
            <c:spPr>
              <a:ln w="15875">
                <a:solidFill>
                  <a:schemeClr val="accent1"/>
                </a:solidFill>
                <a:prstDash val="dash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3218451791208219"/>
                  <c:y val="-2.3689367073390637E-2"/>
                </c:manualLayout>
              </c:layout>
              <c:numFmt formatCode="0.00E+00" sourceLinked="0"/>
              <c:txPr>
                <a:bodyPr/>
                <a:lstStyle/>
                <a:p>
                  <a:pPr>
                    <a:defRPr>
                      <a:latin typeface="NEWCOMPUTERMODERN08-BOOK" pitchFamily="2" charset="77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Data!$G$11:$G$20</c:f>
              <c:numCache>
                <c:formatCode>0.00</c:formatCode>
                <c:ptCount val="10"/>
                <c:pt idx="0">
                  <c:v>1.1100000000000001</c:v>
                </c:pt>
                <c:pt idx="1">
                  <c:v>2.36</c:v>
                </c:pt>
                <c:pt idx="2">
                  <c:v>4</c:v>
                </c:pt>
                <c:pt idx="3">
                  <c:v>4.9000000000000004</c:v>
                </c:pt>
                <c:pt idx="4">
                  <c:v>5.0199999999999996</c:v>
                </c:pt>
                <c:pt idx="5">
                  <c:v>7.63</c:v>
                </c:pt>
                <c:pt idx="6">
                  <c:v>8.1300000000000008</c:v>
                </c:pt>
                <c:pt idx="7">
                  <c:v>8.58</c:v>
                </c:pt>
                <c:pt idx="8">
                  <c:v>9.86</c:v>
                </c:pt>
                <c:pt idx="9">
                  <c:v>10.89</c:v>
                </c:pt>
              </c:numCache>
            </c:numRef>
          </c:xVal>
          <c:yVal>
            <c:numRef>
              <c:f>Data!$H$11:$H$20</c:f>
              <c:numCache>
                <c:formatCode>General</c:formatCode>
                <c:ptCount val="10"/>
                <c:pt idx="0">
                  <c:v>6.0000000000000002E-5</c:v>
                </c:pt>
                <c:pt idx="1">
                  <c:v>1.2750000000000001E-4</c:v>
                </c:pt>
                <c:pt idx="2">
                  <c:v>2.0000000000000001E-4</c:v>
                </c:pt>
                <c:pt idx="3">
                  <c:v>2.3800000000000001E-4</c:v>
                </c:pt>
                <c:pt idx="4">
                  <c:v>2.5333333333333333E-4</c:v>
                </c:pt>
                <c:pt idx="5">
                  <c:v>3.6333333333333335E-4</c:v>
                </c:pt>
                <c:pt idx="6">
                  <c:v>3.901666666666667E-4</c:v>
                </c:pt>
                <c:pt idx="7">
                  <c:v>4.0833333333333336E-4</c:v>
                </c:pt>
                <c:pt idx="8">
                  <c:v>4.6333333333333339E-4</c:v>
                </c:pt>
                <c:pt idx="9">
                  <c:v>4.8999999999999998E-4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21-6649-B0C1-03D5ABF6479E}"/>
            </c:ext>
          </c:extLst>
        </c:ser>
        <c:ser>
          <c:idx val="1"/>
          <c:order val="1"/>
          <c:spPr>
            <a:ln w="38100">
              <a:noFill/>
            </a:ln>
          </c:spPr>
          <c:trendline>
            <c:spPr>
              <a:ln>
                <a:solidFill>
                  <a:schemeClr val="accent2"/>
                </a:solidFill>
                <a:prstDash val="dash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6472727746779999E-2"/>
                  <c:y val="-5.1938851155055997E-2"/>
                </c:manualLayout>
              </c:layout>
              <c:numFmt formatCode="0.00E+00" sourceLinked="0"/>
              <c:txPr>
                <a:bodyPr/>
                <a:lstStyle/>
                <a:p>
                  <a:pPr>
                    <a:defRPr>
                      <a:latin typeface="NEWCOMPUTERMODERN08-BOOK" pitchFamily="2" charset="77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Data!$G$24:$G$29</c:f>
              <c:numCache>
                <c:formatCode>0.00</c:formatCode>
                <c:ptCount val="6"/>
                <c:pt idx="0">
                  <c:v>2.6</c:v>
                </c:pt>
                <c:pt idx="1">
                  <c:v>4.7</c:v>
                </c:pt>
                <c:pt idx="2">
                  <c:v>7.71</c:v>
                </c:pt>
                <c:pt idx="3">
                  <c:v>10.34</c:v>
                </c:pt>
                <c:pt idx="4">
                  <c:v>10.75</c:v>
                </c:pt>
                <c:pt idx="5">
                  <c:v>12.34</c:v>
                </c:pt>
              </c:numCache>
            </c:numRef>
          </c:xVal>
          <c:yVal>
            <c:numRef>
              <c:f>Data!$H$24:$H$29</c:f>
              <c:numCache>
                <c:formatCode>General</c:formatCode>
                <c:ptCount val="6"/>
                <c:pt idx="0">
                  <c:v>4.4333333333333331E-5</c:v>
                </c:pt>
                <c:pt idx="1">
                  <c:v>7.1333333333333337E-5</c:v>
                </c:pt>
                <c:pt idx="2">
                  <c:v>1.0433333333333333E-4</c:v>
                </c:pt>
                <c:pt idx="3">
                  <c:v>1.4333333333333334E-4</c:v>
                </c:pt>
                <c:pt idx="4">
                  <c:v>1.4833333333333332E-4</c:v>
                </c:pt>
                <c:pt idx="5">
                  <c:v>1.7333333333333336E-4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21-6649-B0C1-03D5ABF6479E}"/>
            </c:ext>
          </c:extLst>
        </c:ser>
        <c:ser>
          <c:idx val="2"/>
          <c:order val="2"/>
          <c:spPr>
            <a:ln w="38100">
              <a:noFill/>
            </a:ln>
          </c:spPr>
          <c:trendline>
            <c:spPr>
              <a:ln>
                <a:solidFill>
                  <a:schemeClr val="accent3"/>
                </a:solidFill>
                <a:prstDash val="dash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439484799499397"/>
                  <c:y val="0.16767866802909179"/>
                </c:manualLayout>
              </c:layout>
              <c:numFmt formatCode="0.00E+00" sourceLinked="0"/>
              <c:txPr>
                <a:bodyPr/>
                <a:lstStyle/>
                <a:p>
                  <a:pPr>
                    <a:defRPr>
                      <a:latin typeface="NEWCOMPUTERMODERN08-BOOK" pitchFamily="2" charset="77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Data!$G$33:$G$36</c:f>
              <c:numCache>
                <c:formatCode>0.00</c:formatCode>
                <c:ptCount val="4"/>
                <c:pt idx="0">
                  <c:v>2.57</c:v>
                </c:pt>
                <c:pt idx="1">
                  <c:v>5.09</c:v>
                </c:pt>
                <c:pt idx="2">
                  <c:v>9.4600000000000009</c:v>
                </c:pt>
                <c:pt idx="3">
                  <c:v>12.35</c:v>
                </c:pt>
              </c:numCache>
            </c:numRef>
          </c:xVal>
          <c:yVal>
            <c:numRef>
              <c:f>Data!$H$33:$H$36</c:f>
              <c:numCache>
                <c:formatCode>General</c:formatCode>
                <c:ptCount val="4"/>
                <c:pt idx="0">
                  <c:v>3.5500000000000002E-5</c:v>
                </c:pt>
                <c:pt idx="1">
                  <c:v>6.4999999999999994E-5</c:v>
                </c:pt>
                <c:pt idx="2">
                  <c:v>1.2083333333333333E-4</c:v>
                </c:pt>
                <c:pt idx="3">
                  <c:v>1.4249999999999999E-4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21-6649-B0C1-03D5ABF6479E}"/>
            </c:ext>
          </c:extLst>
        </c:ser>
        <c:ser>
          <c:idx val="3"/>
          <c:order val="3"/>
          <c:spPr>
            <a:ln w="38100">
              <a:noFill/>
            </a:ln>
          </c:spPr>
          <c:trendline>
            <c:spPr>
              <a:ln>
                <a:solidFill>
                  <a:schemeClr val="accent4"/>
                </a:solidFill>
                <a:prstDash val="dash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9.2921598790217441E-2"/>
                  <c:y val="5.1028831319749154E-2"/>
                </c:manualLayout>
              </c:layout>
              <c:numFmt formatCode="0.00E+00" sourceLinked="0"/>
              <c:txPr>
                <a:bodyPr/>
                <a:lstStyle/>
                <a:p>
                  <a:pPr>
                    <a:defRPr>
                      <a:latin typeface="NEWCOMPUTERMODERN08-BOOK" pitchFamily="2" charset="77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Data!$G$40:$G$42</c:f>
              <c:numCache>
                <c:formatCode>0.00</c:formatCode>
                <c:ptCount val="3"/>
                <c:pt idx="0">
                  <c:v>6.98</c:v>
                </c:pt>
                <c:pt idx="1">
                  <c:v>9.9499999999999993</c:v>
                </c:pt>
                <c:pt idx="2">
                  <c:v>13.93</c:v>
                </c:pt>
              </c:numCache>
            </c:numRef>
          </c:xVal>
          <c:yVal>
            <c:numRef>
              <c:f>Data!$H$40:$H$42</c:f>
              <c:numCache>
                <c:formatCode>General</c:formatCode>
                <c:ptCount val="3"/>
                <c:pt idx="0">
                  <c:v>8.7499999999999999E-5</c:v>
                </c:pt>
                <c:pt idx="1">
                  <c:v>1.1666666666666667E-4</c:v>
                </c:pt>
                <c:pt idx="2">
                  <c:v>1.7166666666666667E-4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21-6649-B0C1-03D5ABF6479E}"/>
            </c:ext>
          </c:extLst>
        </c:ser>
        <c:ser>
          <c:idx val="4"/>
          <c:order val="4"/>
          <c:spPr>
            <a:ln w="38100">
              <a:noFill/>
            </a:ln>
          </c:spPr>
          <c:trendline>
            <c:spPr>
              <a:ln>
                <a:solidFill>
                  <a:schemeClr val="accent5"/>
                </a:solidFill>
                <a:prstDash val="dash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6112269906659017E-2"/>
                  <c:y val="-6.2196710144056422E-2"/>
                </c:manualLayout>
              </c:layout>
              <c:numFmt formatCode="0.00E+00" sourceLinked="0"/>
              <c:txPr>
                <a:bodyPr/>
                <a:lstStyle/>
                <a:p>
                  <a:pPr>
                    <a:defRPr>
                      <a:latin typeface="NEWCOMPUTERMODERN08-BOOK" pitchFamily="2" charset="77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Data!$G$47:$G$58</c:f>
              <c:numCache>
                <c:formatCode>General</c:formatCode>
                <c:ptCount val="12"/>
                <c:pt idx="0">
                  <c:v>13.08</c:v>
                </c:pt>
                <c:pt idx="1">
                  <c:v>12.88</c:v>
                </c:pt>
                <c:pt idx="2">
                  <c:v>12.58</c:v>
                </c:pt>
                <c:pt idx="3">
                  <c:v>12.41</c:v>
                </c:pt>
                <c:pt idx="4">
                  <c:v>12.35</c:v>
                </c:pt>
                <c:pt idx="5">
                  <c:v>9.69</c:v>
                </c:pt>
                <c:pt idx="6">
                  <c:v>8.44</c:v>
                </c:pt>
                <c:pt idx="7">
                  <c:v>6.71</c:v>
                </c:pt>
                <c:pt idx="8">
                  <c:v>5.78</c:v>
                </c:pt>
                <c:pt idx="9">
                  <c:v>5.58</c:v>
                </c:pt>
                <c:pt idx="10">
                  <c:v>2.98</c:v>
                </c:pt>
                <c:pt idx="11">
                  <c:v>2.98</c:v>
                </c:pt>
              </c:numCache>
            </c:numRef>
          </c:xVal>
          <c:yVal>
            <c:numRef>
              <c:f>Data!$H$47:$H$58</c:f>
              <c:numCache>
                <c:formatCode>General</c:formatCode>
                <c:ptCount val="12"/>
                <c:pt idx="0">
                  <c:v>3.1333333333333332E-4</c:v>
                </c:pt>
                <c:pt idx="1">
                  <c:v>3.0499999999999999E-4</c:v>
                </c:pt>
                <c:pt idx="2">
                  <c:v>3.0000000000000003E-4</c:v>
                </c:pt>
                <c:pt idx="3">
                  <c:v>2.9E-4</c:v>
                </c:pt>
                <c:pt idx="4">
                  <c:v>3.0166666666666672E-4</c:v>
                </c:pt>
                <c:pt idx="5">
                  <c:v>2.4833333333333332E-4</c:v>
                </c:pt>
                <c:pt idx="6">
                  <c:v>2.0166666666666667E-4</c:v>
                </c:pt>
                <c:pt idx="7">
                  <c:v>1.6333333333333336E-4</c:v>
                </c:pt>
                <c:pt idx="8">
                  <c:v>1.3166666666666668E-4</c:v>
                </c:pt>
                <c:pt idx="9">
                  <c:v>1.4416666666666666E-4</c:v>
                </c:pt>
                <c:pt idx="10">
                  <c:v>7.5000000000000007E-5</c:v>
                </c:pt>
                <c:pt idx="11">
                  <c:v>6.9166666666666663E-5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21-6649-B0C1-03D5ABF64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426752"/>
        <c:axId val="1"/>
      </c:scatterChart>
      <c:valAx>
        <c:axId val="2123426752"/>
        <c:scaling>
          <c:orientation val="minMax"/>
        </c:scaling>
        <c:delete val="0"/>
        <c:axPos val="b"/>
        <c:majorGridlines>
          <c:spPr>
            <a:ln>
              <a:solidFill>
                <a:schemeClr val="bg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NEWCOMPUTERMODERN08-BOOK" pitchFamily="2" charset="77"/>
                  </a:rPr>
                  <a:t>Head H (m)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latin typeface="NEWCOMPUTERMODERN08-BOOK" pitchFamily="2" charset="77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bg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NEWCOMPUTERMODERN08-BOOK" pitchFamily="2" charset="77"/>
                  </a:rPr>
                  <a:t>Q</a:t>
                </a:r>
                <a:r>
                  <a:rPr lang="en-US" baseline="0">
                    <a:latin typeface="NEWCOMPUTERMODERN08-BOOK" pitchFamily="2" charset="77"/>
                  </a:rPr>
                  <a:t> (m3/s)</a:t>
                </a:r>
                <a:endParaRPr lang="en-US">
                  <a:latin typeface="NEWCOMPUTERMODERN08-BOOK" pitchFamily="2" charset="77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>
                <a:latin typeface="NEWCOMPUTERMODERN08-BOOK" pitchFamily="2" charset="77"/>
              </a:defRPr>
            </a:pPr>
            <a:endParaRPr lang="en-US"/>
          </a:p>
        </c:txPr>
        <c:crossAx val="2123426752"/>
        <c:crosses val="autoZero"/>
        <c:crossBetween val="midCat"/>
      </c:valAx>
      <c:spPr>
        <a:ln>
          <a:solidFill>
            <a:schemeClr val="bg2"/>
          </a:solidFill>
        </a:ln>
      </c:spPr>
    </c:plotArea>
    <c:legend>
      <c:legendPos val="r"/>
      <c:overlay val="0"/>
      <c:txPr>
        <a:bodyPr/>
        <a:lstStyle/>
        <a:p>
          <a:pPr>
            <a:defRPr>
              <a:latin typeface="NEWCOMPUTERMODERN08-BOOK" pitchFamily="2" charset="77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5</xdr:row>
      <xdr:rowOff>38100</xdr:rowOff>
    </xdr:from>
    <xdr:to>
      <xdr:col>20</xdr:col>
      <xdr:colOff>325120</xdr:colOff>
      <xdr:row>29</xdr:row>
      <xdr:rowOff>91440</xdr:rowOff>
    </xdr:to>
    <xdr:graphicFrame macro="">
      <xdr:nvGraphicFramePr>
        <xdr:cNvPr id="1035" name="Chart 1">
          <a:extLst>
            <a:ext uri="{FF2B5EF4-FFF2-40B4-BE49-F238E27FC236}">
              <a16:creationId xmlns:a16="http://schemas.microsoft.com/office/drawing/2014/main" id="{B8B48E32-D10C-CFFE-4A43-C3A8D5854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2C20-F6BA-984E-85D5-294447AC0D40}">
  <dimension ref="A1:U60"/>
  <sheetViews>
    <sheetView tabSelected="1" topLeftCell="A12" workbookViewId="0">
      <selection activeCell="K38" sqref="K38"/>
    </sheetView>
  </sheetViews>
  <sheetFormatPr baseColWidth="10" defaultColWidth="8.83203125" defaultRowHeight="16"/>
  <cols>
    <col min="1" max="1" width="8.83203125" style="2"/>
    <col min="2" max="2" width="12" style="2" customWidth="1"/>
    <col min="3" max="5" width="8.83203125" style="2"/>
    <col min="6" max="6" width="9.5" style="2" bestFit="1" customWidth="1"/>
    <col min="7" max="7" width="8.83203125" style="2"/>
    <col min="8" max="8" width="11.5" style="2" bestFit="1" customWidth="1"/>
    <col min="9" max="11" width="8.83203125" style="2"/>
    <col min="12" max="12" width="13.33203125" style="2" customWidth="1"/>
    <col min="13" max="13" width="8.83203125" style="2"/>
    <col min="14" max="14" width="6.1640625" style="2" bestFit="1" customWidth="1"/>
    <col min="15" max="15" width="5.83203125" style="2" bestFit="1" customWidth="1"/>
    <col min="16" max="16" width="6.83203125" style="2" bestFit="1" customWidth="1"/>
    <col min="17" max="17" width="8.83203125" style="2"/>
    <col min="18" max="18" width="13.6640625" style="2" bestFit="1" customWidth="1"/>
    <col min="19" max="19" width="12" style="2" bestFit="1" customWidth="1"/>
    <col min="20" max="20" width="10.33203125" style="2" bestFit="1" customWidth="1"/>
    <col min="21" max="16384" width="8.83203125" style="2"/>
  </cols>
  <sheetData>
    <row r="1" spans="1:8" ht="23">
      <c r="A1" s="1" t="s">
        <v>23</v>
      </c>
      <c r="F1" s="3"/>
    </row>
    <row r="2" spans="1:8">
      <c r="F2" s="4"/>
    </row>
    <row r="3" spans="1:8">
      <c r="A3" s="5" t="s">
        <v>10</v>
      </c>
      <c r="B3" s="6"/>
      <c r="C3" s="7"/>
    </row>
    <row r="4" spans="1:8">
      <c r="A4" s="8" t="s">
        <v>11</v>
      </c>
      <c r="B4" s="9"/>
      <c r="C4" s="10"/>
    </row>
    <row r="6" spans="1:8" ht="21">
      <c r="A6" s="11" t="s">
        <v>16</v>
      </c>
    </row>
    <row r="7" spans="1:8">
      <c r="A7" s="12"/>
      <c r="B7" s="13" t="s">
        <v>9</v>
      </c>
      <c r="C7" s="13" t="s">
        <v>17</v>
      </c>
      <c r="D7" s="13"/>
      <c r="E7" s="13" t="s">
        <v>19</v>
      </c>
      <c r="F7" s="13" t="s">
        <v>20</v>
      </c>
      <c r="G7" s="13" t="s">
        <v>8</v>
      </c>
      <c r="H7" s="28" t="s">
        <v>24</v>
      </c>
    </row>
    <row r="8" spans="1:8">
      <c r="A8" s="14" t="s">
        <v>0</v>
      </c>
      <c r="B8" s="15" t="s">
        <v>22</v>
      </c>
      <c r="C8" s="15" t="s">
        <v>1</v>
      </c>
      <c r="D8" s="15" t="s">
        <v>7</v>
      </c>
      <c r="E8" s="15" t="s">
        <v>4</v>
      </c>
      <c r="F8" s="15" t="s">
        <v>4</v>
      </c>
      <c r="G8" s="15" t="s">
        <v>6</v>
      </c>
      <c r="H8" s="2" t="s">
        <v>26</v>
      </c>
    </row>
    <row r="9" spans="1:8">
      <c r="A9" s="16"/>
      <c r="B9" s="17" t="s">
        <v>5</v>
      </c>
      <c r="C9" s="17" t="s">
        <v>2</v>
      </c>
      <c r="D9" s="17" t="s">
        <v>3</v>
      </c>
      <c r="E9" s="17" t="s">
        <v>5</v>
      </c>
      <c r="F9" s="17" t="s">
        <v>5</v>
      </c>
      <c r="G9" s="17" t="s">
        <v>5</v>
      </c>
      <c r="H9" s="28" t="s">
        <v>25</v>
      </c>
    </row>
    <row r="10" spans="1:8">
      <c r="A10" s="5" t="s">
        <v>12</v>
      </c>
      <c r="B10" s="6"/>
      <c r="C10" s="6"/>
      <c r="D10" s="6"/>
      <c r="E10" s="6"/>
      <c r="F10" s="6"/>
      <c r="G10" s="6"/>
    </row>
    <row r="11" spans="1:8">
      <c r="A11" s="18">
        <v>1</v>
      </c>
      <c r="B11" s="19">
        <v>0.57999999999999996</v>
      </c>
      <c r="C11" s="19">
        <v>25</v>
      </c>
      <c r="D11" s="20">
        <v>3.6</v>
      </c>
      <c r="E11" s="21" t="s">
        <v>21</v>
      </c>
      <c r="F11" s="21" t="s">
        <v>21</v>
      </c>
      <c r="G11" s="20">
        <v>1.1100000000000001</v>
      </c>
      <c r="H11" s="2">
        <f>D11*(0.001 / 60)</f>
        <v>6.0000000000000002E-5</v>
      </c>
    </row>
    <row r="12" spans="1:8">
      <c r="A12" s="18">
        <v>2</v>
      </c>
      <c r="B12" s="19">
        <v>0.57999999999999996</v>
      </c>
      <c r="C12" s="19">
        <v>20</v>
      </c>
      <c r="D12" s="20">
        <v>7.65</v>
      </c>
      <c r="E12" s="21" t="s">
        <v>21</v>
      </c>
      <c r="F12" s="21" t="s">
        <v>21</v>
      </c>
      <c r="G12" s="20">
        <v>2.36</v>
      </c>
      <c r="H12" s="2">
        <f t="shared" ref="H12:H20" si="0">D12*(0.001 / 60)</f>
        <v>1.2750000000000001E-4</v>
      </c>
    </row>
    <row r="13" spans="1:8">
      <c r="A13" s="18">
        <v>3</v>
      </c>
      <c r="B13" s="19">
        <v>0.57999999999999996</v>
      </c>
      <c r="C13" s="19">
        <v>15</v>
      </c>
      <c r="D13" s="20">
        <v>12</v>
      </c>
      <c r="E13" s="21" t="s">
        <v>21</v>
      </c>
      <c r="F13" s="21" t="s">
        <v>21</v>
      </c>
      <c r="G13" s="20">
        <v>4</v>
      </c>
      <c r="H13" s="2">
        <f t="shared" si="0"/>
        <v>2.0000000000000001E-4</v>
      </c>
    </row>
    <row r="14" spans="1:8">
      <c r="A14" s="18">
        <v>4</v>
      </c>
      <c r="B14" s="19">
        <v>0.57999999999999996</v>
      </c>
      <c r="C14" s="19">
        <v>18</v>
      </c>
      <c r="D14" s="20">
        <v>14.28</v>
      </c>
      <c r="E14" s="21" t="s">
        <v>21</v>
      </c>
      <c r="F14" s="21" t="s">
        <v>21</v>
      </c>
      <c r="G14" s="20">
        <v>4.9000000000000004</v>
      </c>
      <c r="H14" s="2">
        <f t="shared" si="0"/>
        <v>2.3800000000000001E-4</v>
      </c>
    </row>
    <row r="15" spans="1:8">
      <c r="A15" s="18">
        <v>5</v>
      </c>
      <c r="B15" s="19">
        <v>0.57999999999999996</v>
      </c>
      <c r="C15" s="19">
        <v>17</v>
      </c>
      <c r="D15" s="20">
        <v>15.2</v>
      </c>
      <c r="E15" s="21" t="s">
        <v>21</v>
      </c>
      <c r="F15" s="21" t="s">
        <v>21</v>
      </c>
      <c r="G15" s="20">
        <v>5.0199999999999996</v>
      </c>
      <c r="H15" s="2">
        <f t="shared" si="0"/>
        <v>2.5333333333333333E-4</v>
      </c>
    </row>
    <row r="16" spans="1:8">
      <c r="A16" s="18">
        <v>6</v>
      </c>
      <c r="B16" s="19">
        <v>0.57999999999999996</v>
      </c>
      <c r="C16" s="19">
        <v>17</v>
      </c>
      <c r="D16" s="20">
        <v>21.8</v>
      </c>
      <c r="E16" s="21" t="s">
        <v>21</v>
      </c>
      <c r="F16" s="21" t="s">
        <v>21</v>
      </c>
      <c r="G16" s="20">
        <v>7.63</v>
      </c>
      <c r="H16" s="2">
        <f t="shared" si="0"/>
        <v>3.6333333333333335E-4</v>
      </c>
    </row>
    <row r="17" spans="1:8">
      <c r="A17" s="18">
        <v>7</v>
      </c>
      <c r="B17" s="19">
        <v>0.57999999999999996</v>
      </c>
      <c r="C17" s="19">
        <v>11</v>
      </c>
      <c r="D17" s="20">
        <v>23.41</v>
      </c>
      <c r="E17" s="21" t="s">
        <v>21</v>
      </c>
      <c r="F17" s="21" t="s">
        <v>21</v>
      </c>
      <c r="G17" s="20">
        <v>8.1300000000000008</v>
      </c>
      <c r="H17" s="2">
        <f t="shared" si="0"/>
        <v>3.901666666666667E-4</v>
      </c>
    </row>
    <row r="18" spans="1:8">
      <c r="A18" s="18">
        <v>8</v>
      </c>
      <c r="B18" s="19">
        <v>0.57999999999999996</v>
      </c>
      <c r="C18" s="19">
        <v>15</v>
      </c>
      <c r="D18" s="20">
        <v>24.5</v>
      </c>
      <c r="E18" s="21" t="s">
        <v>21</v>
      </c>
      <c r="F18" s="21" t="s">
        <v>21</v>
      </c>
      <c r="G18" s="20">
        <v>8.58</v>
      </c>
      <c r="H18" s="2">
        <f t="shared" si="0"/>
        <v>4.0833333333333336E-4</v>
      </c>
    </row>
    <row r="19" spans="1:8">
      <c r="A19" s="18">
        <v>9</v>
      </c>
      <c r="B19" s="19">
        <v>0.57999999999999996</v>
      </c>
      <c r="C19" s="19">
        <v>13</v>
      </c>
      <c r="D19" s="20">
        <v>27.8</v>
      </c>
      <c r="E19" s="21" t="s">
        <v>21</v>
      </c>
      <c r="F19" s="21" t="s">
        <v>21</v>
      </c>
      <c r="G19" s="20">
        <v>9.86</v>
      </c>
      <c r="H19" s="2">
        <f t="shared" si="0"/>
        <v>4.6333333333333339E-4</v>
      </c>
    </row>
    <row r="20" spans="1:8">
      <c r="A20" s="18">
        <v>10</v>
      </c>
      <c r="B20" s="19">
        <v>0.57999999999999996</v>
      </c>
      <c r="C20" s="19">
        <v>10</v>
      </c>
      <c r="D20" s="20">
        <v>29.4</v>
      </c>
      <c r="E20" s="21" t="s">
        <v>21</v>
      </c>
      <c r="F20" s="21" t="s">
        <v>21</v>
      </c>
      <c r="G20" s="20">
        <v>10.89</v>
      </c>
      <c r="H20" s="2">
        <f t="shared" si="0"/>
        <v>4.8999999999999998E-4</v>
      </c>
    </row>
    <row r="21" spans="1:8">
      <c r="A21" s="18"/>
      <c r="B21" s="19"/>
      <c r="C21" s="19"/>
      <c r="D21" s="20"/>
      <c r="E21" s="20"/>
      <c r="F21" s="19"/>
      <c r="G21" s="20"/>
    </row>
    <row r="22" spans="1:8">
      <c r="A22" s="22"/>
      <c r="B22" s="9"/>
      <c r="C22" s="9"/>
      <c r="D22" s="23"/>
      <c r="E22" s="23"/>
      <c r="F22" s="9"/>
      <c r="G22" s="23"/>
    </row>
    <row r="23" spans="1:8">
      <c r="A23" s="24" t="s">
        <v>13</v>
      </c>
      <c r="B23" s="19"/>
      <c r="C23" s="19"/>
      <c r="D23" s="20"/>
      <c r="E23" s="19"/>
      <c r="F23" s="19"/>
      <c r="G23" s="20"/>
    </row>
    <row r="24" spans="1:8">
      <c r="A24" s="18">
        <v>1</v>
      </c>
      <c r="B24" s="19">
        <v>1.1399999999999999</v>
      </c>
      <c r="C24" s="19">
        <v>30</v>
      </c>
      <c r="D24" s="20">
        <v>2.66</v>
      </c>
      <c r="E24" s="21" t="s">
        <v>21</v>
      </c>
      <c r="F24" s="21" t="s">
        <v>21</v>
      </c>
      <c r="G24" s="20">
        <v>2.6</v>
      </c>
      <c r="H24" s="2">
        <f>D24*0.001/60</f>
        <v>4.4333333333333331E-5</v>
      </c>
    </row>
    <row r="25" spans="1:8">
      <c r="A25" s="18">
        <v>2</v>
      </c>
      <c r="B25" s="19">
        <v>1.1399999999999999</v>
      </c>
      <c r="C25" s="19">
        <v>21</v>
      </c>
      <c r="D25" s="20">
        <v>4.28</v>
      </c>
      <c r="E25" s="21" t="s">
        <v>21</v>
      </c>
      <c r="F25" s="21" t="s">
        <v>21</v>
      </c>
      <c r="G25" s="20">
        <v>4.7</v>
      </c>
      <c r="H25" s="2">
        <f t="shared" ref="H25:H29" si="1">D25*0.001/60</f>
        <v>7.1333333333333337E-5</v>
      </c>
    </row>
    <row r="26" spans="1:8">
      <c r="A26" s="18">
        <v>3</v>
      </c>
      <c r="B26" s="19">
        <v>1.1399999999999999</v>
      </c>
      <c r="C26" s="19">
        <v>26</v>
      </c>
      <c r="D26" s="20">
        <v>6.26</v>
      </c>
      <c r="E26" s="21" t="s">
        <v>21</v>
      </c>
      <c r="F26" s="21" t="s">
        <v>21</v>
      </c>
      <c r="G26" s="20">
        <v>7.71</v>
      </c>
      <c r="H26" s="2">
        <f t="shared" si="1"/>
        <v>1.0433333333333333E-4</v>
      </c>
    </row>
    <row r="27" spans="1:8">
      <c r="A27" s="18">
        <v>4</v>
      </c>
      <c r="B27" s="19">
        <v>1.1399999999999999</v>
      </c>
      <c r="C27" s="19">
        <v>18</v>
      </c>
      <c r="D27" s="20">
        <v>8.6</v>
      </c>
      <c r="E27" s="21" t="s">
        <v>21</v>
      </c>
      <c r="F27" s="21" t="s">
        <v>21</v>
      </c>
      <c r="G27" s="20">
        <v>10.34</v>
      </c>
      <c r="H27" s="2">
        <f t="shared" si="1"/>
        <v>1.4333333333333334E-4</v>
      </c>
    </row>
    <row r="28" spans="1:8">
      <c r="A28" s="18">
        <v>5</v>
      </c>
      <c r="B28" s="19">
        <v>1.1399999999999999</v>
      </c>
      <c r="C28" s="19">
        <v>10</v>
      </c>
      <c r="D28" s="20">
        <v>8.9</v>
      </c>
      <c r="E28" s="21" t="s">
        <v>21</v>
      </c>
      <c r="F28" s="21" t="s">
        <v>21</v>
      </c>
      <c r="G28" s="20">
        <v>10.75</v>
      </c>
      <c r="H28" s="2">
        <f t="shared" si="1"/>
        <v>1.4833333333333332E-4</v>
      </c>
    </row>
    <row r="29" spans="1:8">
      <c r="A29" s="18">
        <v>6</v>
      </c>
      <c r="B29" s="19">
        <v>1.1399999999999999</v>
      </c>
      <c r="C29" s="19">
        <v>24</v>
      </c>
      <c r="D29" s="20">
        <v>10.4</v>
      </c>
      <c r="E29" s="21" t="s">
        <v>21</v>
      </c>
      <c r="F29" s="21" t="s">
        <v>21</v>
      </c>
      <c r="G29" s="20">
        <v>12.34</v>
      </c>
      <c r="H29" s="2">
        <f t="shared" si="1"/>
        <v>1.7333333333333336E-4</v>
      </c>
    </row>
    <row r="30" spans="1:8">
      <c r="A30" s="18"/>
      <c r="B30" s="19"/>
      <c r="C30" s="19"/>
      <c r="D30" s="20"/>
      <c r="E30" s="20"/>
      <c r="F30" s="19"/>
      <c r="G30" s="20"/>
    </row>
    <row r="31" spans="1:8">
      <c r="A31" s="18"/>
      <c r="B31" s="19"/>
      <c r="C31" s="19"/>
      <c r="D31" s="20"/>
      <c r="E31" s="20"/>
      <c r="F31" s="19"/>
      <c r="G31" s="20"/>
    </row>
    <row r="32" spans="1:8">
      <c r="A32" s="5" t="s">
        <v>14</v>
      </c>
      <c r="B32" s="6"/>
      <c r="C32" s="6"/>
      <c r="D32" s="25"/>
      <c r="E32" s="25"/>
      <c r="F32" s="6"/>
      <c r="G32" s="25"/>
    </row>
    <row r="33" spans="1:21">
      <c r="A33" s="18">
        <v>1</v>
      </c>
      <c r="B33" s="19">
        <v>1.71</v>
      </c>
      <c r="C33" s="19">
        <v>31</v>
      </c>
      <c r="D33" s="20">
        <v>2.13</v>
      </c>
      <c r="E33" s="21" t="s">
        <v>21</v>
      </c>
      <c r="F33" s="21" t="s">
        <v>21</v>
      </c>
      <c r="G33" s="20">
        <v>2.57</v>
      </c>
      <c r="H33" s="2">
        <f>D33*0.001/60</f>
        <v>3.5500000000000002E-5</v>
      </c>
      <c r="L33" s="32" t="s">
        <v>0</v>
      </c>
      <c r="M33" s="32" t="s">
        <v>27</v>
      </c>
      <c r="N33" s="32" t="s">
        <v>29</v>
      </c>
      <c r="O33" s="32" t="s">
        <v>33</v>
      </c>
      <c r="P33" s="32" t="s">
        <v>34</v>
      </c>
      <c r="Q33" s="32" t="s">
        <v>30</v>
      </c>
      <c r="R33" s="33" t="s">
        <v>31</v>
      </c>
      <c r="S33" s="33" t="s">
        <v>32</v>
      </c>
      <c r="T33" s="29" t="s">
        <v>39</v>
      </c>
      <c r="U33" s="34" t="s">
        <v>40</v>
      </c>
    </row>
    <row r="34" spans="1:21">
      <c r="A34" s="18">
        <v>2</v>
      </c>
      <c r="B34" s="19">
        <v>1.71</v>
      </c>
      <c r="C34" s="19">
        <v>20</v>
      </c>
      <c r="D34" s="20">
        <v>3.9</v>
      </c>
      <c r="E34" s="21" t="s">
        <v>21</v>
      </c>
      <c r="F34" s="21" t="s">
        <v>21</v>
      </c>
      <c r="G34" s="20">
        <v>5.09</v>
      </c>
      <c r="H34" s="2">
        <f t="shared" ref="H34:H36" si="2">D34*0.001/60</f>
        <v>6.4999999999999994E-5</v>
      </c>
      <c r="L34" s="31" t="s">
        <v>12</v>
      </c>
      <c r="M34" s="30">
        <v>4.7299999999999998E-5</v>
      </c>
      <c r="N34" s="29">
        <v>0.99870000000000003</v>
      </c>
      <c r="O34" s="29">
        <v>0.57999999999999996</v>
      </c>
      <c r="P34" s="29">
        <f>0.0962</f>
        <v>9.6199999999999994E-2</v>
      </c>
      <c r="Q34" s="29">
        <f>M34*O34/P34</f>
        <v>2.8517671517671515E-4</v>
      </c>
      <c r="R34" s="34">
        <f>Q34*100</f>
        <v>2.8517671517671515E-2</v>
      </c>
      <c r="S34" s="34">
        <f>Q34*24*60*60</f>
        <v>24.639268191268187</v>
      </c>
      <c r="T34" s="29">
        <f>(R34*$S$40)/($S$42)</f>
        <v>3.7791002011185493E-7</v>
      </c>
      <c r="U34" s="34">
        <f>T34/0.00000000987*1000</f>
        <v>38288.755837067372</v>
      </c>
    </row>
    <row r="35" spans="1:21">
      <c r="A35" s="18">
        <v>3</v>
      </c>
      <c r="B35" s="19">
        <v>1.71</v>
      </c>
      <c r="C35" s="19">
        <v>17</v>
      </c>
      <c r="D35" s="20">
        <v>7.25</v>
      </c>
      <c r="E35" s="21" t="s">
        <v>21</v>
      </c>
      <c r="F35" s="21" t="s">
        <v>21</v>
      </c>
      <c r="G35" s="20">
        <v>9.4600000000000009</v>
      </c>
      <c r="H35" s="2">
        <f t="shared" si="2"/>
        <v>1.2083333333333333E-4</v>
      </c>
      <c r="L35" s="31" t="s">
        <v>13</v>
      </c>
      <c r="M35" s="30">
        <v>1.4E-5</v>
      </c>
      <c r="N35" s="29">
        <v>0.99870000000000003</v>
      </c>
      <c r="O35" s="29">
        <v>1.1399999999999999</v>
      </c>
      <c r="P35" s="29">
        <f t="shared" ref="P35:P38" si="3">0.0962</f>
        <v>9.6199999999999994E-2</v>
      </c>
      <c r="Q35" s="29">
        <f t="shared" ref="Q35:Q38" si="4">M35*O35/P35</f>
        <v>1.6590436590436592E-4</v>
      </c>
      <c r="R35" s="34">
        <f t="shared" ref="R35:R38" si="5">Q35*100</f>
        <v>1.6590436590436592E-2</v>
      </c>
      <c r="S35" s="34">
        <f t="shared" ref="S35:S38" si="6">Q35*24*60*60</f>
        <v>14.334137214137215</v>
      </c>
      <c r="T35" s="29">
        <f t="shared" ref="T35:T38" si="7">(R35*$S$40)/($S$42)</f>
        <v>2.1985288040333913E-7</v>
      </c>
      <c r="U35" s="34">
        <f t="shared" ref="U35:U38" si="8">T35/0.00000000987*1000</f>
        <v>22274.861236407207</v>
      </c>
    </row>
    <row r="36" spans="1:21">
      <c r="A36" s="18">
        <v>4</v>
      </c>
      <c r="B36" s="19">
        <v>1.71</v>
      </c>
      <c r="C36" s="19">
        <v>20</v>
      </c>
      <c r="D36" s="20">
        <v>8.5500000000000007</v>
      </c>
      <c r="E36" s="21" t="s">
        <v>21</v>
      </c>
      <c r="F36" s="21" t="s">
        <v>21</v>
      </c>
      <c r="G36" s="20">
        <v>12.35</v>
      </c>
      <c r="H36" s="2">
        <f t="shared" si="2"/>
        <v>1.4249999999999999E-4</v>
      </c>
      <c r="L36" s="31" t="s">
        <v>14</v>
      </c>
      <c r="M36" s="30">
        <v>1.2099999999999999E-5</v>
      </c>
      <c r="N36" s="29">
        <v>0.997</v>
      </c>
      <c r="O36" s="29">
        <v>1.71</v>
      </c>
      <c r="P36" s="29">
        <f t="shared" si="3"/>
        <v>9.6199999999999994E-2</v>
      </c>
      <c r="Q36" s="29">
        <f t="shared" si="4"/>
        <v>2.1508316008316008E-4</v>
      </c>
      <c r="R36" s="34">
        <f t="shared" si="5"/>
        <v>2.1508316008316007E-2</v>
      </c>
      <c r="S36" s="34">
        <f t="shared" si="6"/>
        <v>18.583185031185032</v>
      </c>
      <c r="T36" s="29">
        <f t="shared" si="7"/>
        <v>2.8502355566575744E-7</v>
      </c>
      <c r="U36" s="34">
        <f t="shared" si="8"/>
        <v>28877.766531485049</v>
      </c>
    </row>
    <row r="37" spans="1:21">
      <c r="A37" s="18"/>
      <c r="B37" s="19"/>
      <c r="C37" s="19"/>
      <c r="D37" s="20"/>
      <c r="E37" s="20"/>
      <c r="F37" s="19"/>
      <c r="G37" s="20"/>
      <c r="L37" s="31" t="s">
        <v>15</v>
      </c>
      <c r="M37" s="30">
        <v>1.22E-5</v>
      </c>
      <c r="N37" s="29">
        <v>0.99939999999999996</v>
      </c>
      <c r="O37" s="29">
        <v>1.7</v>
      </c>
      <c r="P37" s="29">
        <f t="shared" si="3"/>
        <v>9.6199999999999994E-2</v>
      </c>
      <c r="Q37" s="29">
        <f t="shared" si="4"/>
        <v>2.1559251559251559E-4</v>
      </c>
      <c r="R37" s="34">
        <f t="shared" si="5"/>
        <v>2.155925155925156E-2</v>
      </c>
      <c r="S37" s="34">
        <f t="shared" si="6"/>
        <v>18.627193347193344</v>
      </c>
      <c r="T37" s="29">
        <f t="shared" si="7"/>
        <v>2.8569854257927649E-7</v>
      </c>
      <c r="U37" s="34">
        <f t="shared" si="8"/>
        <v>28946.154263351214</v>
      </c>
    </row>
    <row r="38" spans="1:21">
      <c r="A38" s="22"/>
      <c r="B38" s="9"/>
      <c r="C38" s="9"/>
      <c r="D38" s="23"/>
      <c r="E38" s="23"/>
      <c r="F38" s="9"/>
      <c r="G38" s="23"/>
      <c r="L38" s="31" t="s">
        <v>28</v>
      </c>
      <c r="M38" s="30">
        <v>2.41E-5</v>
      </c>
      <c r="N38" s="29">
        <v>0.99919999999999998</v>
      </c>
      <c r="O38" s="29">
        <v>1.1000000000000001</v>
      </c>
      <c r="P38" s="29">
        <f t="shared" si="3"/>
        <v>9.6199999999999994E-2</v>
      </c>
      <c r="Q38" s="29">
        <f t="shared" si="4"/>
        <v>2.7557172557172559E-4</v>
      </c>
      <c r="R38" s="34">
        <f t="shared" si="5"/>
        <v>2.7557172557172559E-2</v>
      </c>
      <c r="S38" s="34">
        <f t="shared" si="6"/>
        <v>23.809397089397095</v>
      </c>
      <c r="T38" s="29">
        <f t="shared" si="7"/>
        <v>3.6518169545692483E-7</v>
      </c>
      <c r="U38" s="34">
        <f t="shared" si="8"/>
        <v>36999.158607591169</v>
      </c>
    </row>
    <row r="39" spans="1:21">
      <c r="A39" s="5" t="s">
        <v>15</v>
      </c>
      <c r="B39" s="6"/>
      <c r="C39" s="6"/>
      <c r="D39" s="25"/>
      <c r="E39" s="25"/>
      <c r="F39" s="6"/>
      <c r="G39" s="25"/>
      <c r="R39" s="2" t="s">
        <v>35</v>
      </c>
    </row>
    <row r="40" spans="1:21">
      <c r="A40" s="18">
        <v>1</v>
      </c>
      <c r="B40" s="19">
        <v>1.7</v>
      </c>
      <c r="C40" s="19">
        <v>20</v>
      </c>
      <c r="D40" s="20">
        <v>5.25</v>
      </c>
      <c r="E40" s="21" t="s">
        <v>21</v>
      </c>
      <c r="F40" s="21" t="s">
        <v>21</v>
      </c>
      <c r="G40" s="20">
        <v>6.98</v>
      </c>
      <c r="H40" s="2">
        <f>D40*0.001/60</f>
        <v>8.7499999999999999E-5</v>
      </c>
      <c r="R40" s="2" t="s">
        <v>38</v>
      </c>
      <c r="S40" s="2">
        <v>1.2999999999999999E-2</v>
      </c>
    </row>
    <row r="41" spans="1:21">
      <c r="A41" s="18">
        <v>2</v>
      </c>
      <c r="B41" s="19">
        <v>1.7</v>
      </c>
      <c r="C41" s="19">
        <v>20</v>
      </c>
      <c r="D41" s="20">
        <v>7</v>
      </c>
      <c r="E41" s="21" t="s">
        <v>21</v>
      </c>
      <c r="F41" s="21" t="s">
        <v>21</v>
      </c>
      <c r="G41" s="20">
        <v>9.9499999999999993</v>
      </c>
      <c r="H41" s="2">
        <f t="shared" ref="H41:H42" si="9">D41*0.001/60</f>
        <v>1.1666666666666667E-4</v>
      </c>
      <c r="R41" s="2" t="s">
        <v>37</v>
      </c>
      <c r="S41" s="2">
        <v>1</v>
      </c>
    </row>
    <row r="42" spans="1:21">
      <c r="A42" s="18">
        <v>3</v>
      </c>
      <c r="B42" s="19">
        <v>1.7</v>
      </c>
      <c r="C42" s="19">
        <v>20</v>
      </c>
      <c r="D42" s="20">
        <v>10.3</v>
      </c>
      <c r="E42" s="21" t="s">
        <v>21</v>
      </c>
      <c r="F42" s="21" t="s">
        <v>21</v>
      </c>
      <c r="G42" s="20">
        <v>13.93</v>
      </c>
      <c r="H42" s="2">
        <f t="shared" si="9"/>
        <v>1.7166666666666667E-4</v>
      </c>
      <c r="R42" s="2" t="s">
        <v>36</v>
      </c>
      <c r="S42" s="2">
        <v>981</v>
      </c>
    </row>
    <row r="43" spans="1:21">
      <c r="A43" s="18"/>
      <c r="B43" s="19"/>
      <c r="C43" s="19"/>
      <c r="D43" s="20"/>
      <c r="E43" s="20"/>
      <c r="F43" s="19"/>
      <c r="G43" s="20"/>
    </row>
    <row r="44" spans="1:21">
      <c r="A44" s="22"/>
      <c r="B44" s="9"/>
      <c r="C44" s="9"/>
      <c r="D44" s="23"/>
      <c r="E44" s="23"/>
      <c r="F44" s="9"/>
      <c r="G44" s="23"/>
    </row>
    <row r="45" spans="1:21">
      <c r="A45" s="19"/>
      <c r="B45" s="19"/>
      <c r="C45" s="19"/>
      <c r="D45" s="19"/>
      <c r="E45" s="19"/>
      <c r="F45" s="19"/>
      <c r="G45" s="19"/>
    </row>
    <row r="46" spans="1:21" ht="21">
      <c r="A46" s="26" t="s">
        <v>18</v>
      </c>
      <c r="B46" s="9"/>
      <c r="C46" s="9"/>
      <c r="D46" s="9"/>
      <c r="E46" s="9"/>
      <c r="F46" s="9"/>
      <c r="G46" s="9"/>
    </row>
    <row r="47" spans="1:21">
      <c r="A47" s="18">
        <v>1</v>
      </c>
      <c r="B47" s="20">
        <v>1.1000000000000001</v>
      </c>
      <c r="C47" s="19">
        <v>15</v>
      </c>
      <c r="D47" s="19">
        <v>18.8</v>
      </c>
      <c r="E47" s="19">
        <v>9.48</v>
      </c>
      <c r="F47" s="19">
        <v>-3.6</v>
      </c>
      <c r="G47" s="19">
        <v>13.08</v>
      </c>
      <c r="H47" s="2">
        <f>D47*0.001/60</f>
        <v>3.1333333333333332E-4</v>
      </c>
    </row>
    <row r="48" spans="1:21">
      <c r="A48" s="18">
        <v>2</v>
      </c>
      <c r="B48" s="20">
        <v>1.1000000000000001</v>
      </c>
      <c r="C48" s="19">
        <v>15</v>
      </c>
      <c r="D48" s="19">
        <v>18.3</v>
      </c>
      <c r="E48" s="19">
        <v>12.88</v>
      </c>
      <c r="F48" s="19">
        <v>0</v>
      </c>
      <c r="G48" s="19">
        <v>12.88</v>
      </c>
      <c r="H48" s="2">
        <f t="shared" ref="H48:H58" si="10">D48*0.001/60</f>
        <v>3.0499999999999999E-4</v>
      </c>
    </row>
    <row r="49" spans="1:8">
      <c r="A49" s="18">
        <v>3</v>
      </c>
      <c r="B49" s="20">
        <v>1.1000000000000001</v>
      </c>
      <c r="C49" s="19">
        <v>10</v>
      </c>
      <c r="D49" s="19">
        <v>18</v>
      </c>
      <c r="E49" s="19">
        <v>9.8000000000000007</v>
      </c>
      <c r="F49" s="19">
        <v>-2.78</v>
      </c>
      <c r="G49" s="19">
        <v>12.58</v>
      </c>
      <c r="H49" s="2">
        <f t="shared" si="10"/>
        <v>3.0000000000000003E-4</v>
      </c>
    </row>
    <row r="50" spans="1:8">
      <c r="A50" s="18">
        <v>4</v>
      </c>
      <c r="B50" s="20">
        <v>1.1000000000000001</v>
      </c>
      <c r="C50" s="19">
        <v>10</v>
      </c>
      <c r="D50" s="19">
        <v>17.399999999999999</v>
      </c>
      <c r="E50" s="19">
        <v>12.87</v>
      </c>
      <c r="F50" s="19">
        <v>0.46</v>
      </c>
      <c r="G50" s="19">
        <v>12.41</v>
      </c>
      <c r="H50" s="2">
        <f t="shared" si="10"/>
        <v>2.9E-4</v>
      </c>
    </row>
    <row r="51" spans="1:8">
      <c r="A51" s="18">
        <v>5</v>
      </c>
      <c r="B51" s="20">
        <v>1.1000000000000001</v>
      </c>
      <c r="C51" s="19">
        <v>20</v>
      </c>
      <c r="D51" s="19">
        <v>18.100000000000001</v>
      </c>
      <c r="E51" s="19">
        <v>12.8</v>
      </c>
      <c r="F51" s="19">
        <v>0.49</v>
      </c>
      <c r="G51" s="27">
        <v>12.35</v>
      </c>
      <c r="H51" s="2">
        <f t="shared" si="10"/>
        <v>3.0166666666666672E-4</v>
      </c>
    </row>
    <row r="52" spans="1:8">
      <c r="A52" s="18">
        <v>6</v>
      </c>
      <c r="B52" s="20">
        <v>1.1000000000000001</v>
      </c>
      <c r="C52" s="19">
        <v>16</v>
      </c>
      <c r="D52" s="19">
        <v>14.9</v>
      </c>
      <c r="E52" s="19">
        <v>8.86</v>
      </c>
      <c r="F52" s="19">
        <v>-0.83</v>
      </c>
      <c r="G52" s="19">
        <v>9.69</v>
      </c>
      <c r="H52" s="2">
        <f t="shared" si="10"/>
        <v>2.4833333333333332E-4</v>
      </c>
    </row>
    <row r="53" spans="1:8">
      <c r="A53" s="18">
        <v>7</v>
      </c>
      <c r="B53" s="20">
        <v>1.1000000000000001</v>
      </c>
      <c r="C53" s="19">
        <v>15</v>
      </c>
      <c r="D53" s="19">
        <v>12.1</v>
      </c>
      <c r="E53" s="19">
        <v>12.84</v>
      </c>
      <c r="F53" s="19">
        <v>4.4000000000000004</v>
      </c>
      <c r="G53" s="19">
        <v>8.44</v>
      </c>
      <c r="H53" s="2">
        <f t="shared" si="10"/>
        <v>2.0166666666666667E-4</v>
      </c>
    </row>
    <row r="54" spans="1:8">
      <c r="A54" s="18">
        <v>8</v>
      </c>
      <c r="B54" s="20">
        <v>1.1000000000000001</v>
      </c>
      <c r="C54" s="19">
        <v>15</v>
      </c>
      <c r="D54" s="19">
        <v>9.8000000000000007</v>
      </c>
      <c r="E54" s="19">
        <v>6.71</v>
      </c>
      <c r="F54" s="19">
        <v>0</v>
      </c>
      <c r="G54" s="19">
        <v>6.71</v>
      </c>
      <c r="H54" s="2">
        <f t="shared" si="10"/>
        <v>1.6333333333333336E-4</v>
      </c>
    </row>
    <row r="55" spans="1:8">
      <c r="A55" s="18">
        <v>9</v>
      </c>
      <c r="B55" s="20">
        <v>1.1000000000000001</v>
      </c>
      <c r="C55" s="19">
        <v>20</v>
      </c>
      <c r="D55" s="19">
        <v>7.9</v>
      </c>
      <c r="E55" s="19">
        <v>12.81</v>
      </c>
      <c r="F55" s="19">
        <v>7.03</v>
      </c>
      <c r="G55" s="19">
        <v>5.78</v>
      </c>
      <c r="H55" s="2">
        <f t="shared" si="10"/>
        <v>1.3166666666666668E-4</v>
      </c>
    </row>
    <row r="56" spans="1:8">
      <c r="A56" s="18">
        <v>10</v>
      </c>
      <c r="B56" s="20">
        <v>1.1000000000000001</v>
      </c>
      <c r="C56" s="19">
        <v>20</v>
      </c>
      <c r="D56" s="19">
        <v>8.65</v>
      </c>
      <c r="E56" s="19">
        <v>5.58</v>
      </c>
      <c r="F56" s="19">
        <v>0</v>
      </c>
      <c r="G56" s="19">
        <v>5.58</v>
      </c>
      <c r="H56" s="2">
        <f t="shared" si="10"/>
        <v>1.4416666666666666E-4</v>
      </c>
    </row>
    <row r="57" spans="1:8">
      <c r="A57" s="18">
        <v>11</v>
      </c>
      <c r="B57" s="20">
        <v>1.1000000000000001</v>
      </c>
      <c r="C57" s="19">
        <v>20</v>
      </c>
      <c r="D57" s="19">
        <v>4.5</v>
      </c>
      <c r="E57" s="19">
        <v>2.98</v>
      </c>
      <c r="F57" s="19">
        <v>0</v>
      </c>
      <c r="G57" s="19">
        <v>2.98</v>
      </c>
      <c r="H57" s="2">
        <f t="shared" si="10"/>
        <v>7.5000000000000007E-5</v>
      </c>
    </row>
    <row r="58" spans="1:8">
      <c r="A58" s="18">
        <v>12</v>
      </c>
      <c r="B58" s="20">
        <v>1.1000000000000001</v>
      </c>
      <c r="C58" s="19">
        <v>20</v>
      </c>
      <c r="D58" s="19">
        <v>4.1500000000000004</v>
      </c>
      <c r="E58" s="19">
        <v>12.86</v>
      </c>
      <c r="F58" s="19">
        <v>9.8800000000000008</v>
      </c>
      <c r="G58" s="19">
        <v>2.98</v>
      </c>
      <c r="H58" s="2">
        <f t="shared" si="10"/>
        <v>6.9166666666666663E-5</v>
      </c>
    </row>
    <row r="59" spans="1:8">
      <c r="A59" s="18"/>
      <c r="B59" s="20"/>
      <c r="C59" s="19"/>
      <c r="D59" s="19"/>
      <c r="E59" s="19"/>
      <c r="F59" s="19"/>
      <c r="G59" s="19"/>
    </row>
    <row r="60" spans="1:8">
      <c r="A60" s="22"/>
      <c r="B60" s="23"/>
      <c r="C60" s="9"/>
      <c r="D60" s="9"/>
      <c r="E60" s="9"/>
      <c r="F60" s="9"/>
      <c r="G60" s="9"/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Student Union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gbrown</dc:creator>
  <cp:lastModifiedBy>Bui, Viet M.</cp:lastModifiedBy>
  <cp:lastPrinted>1999-11-20T05:21:47Z</cp:lastPrinted>
  <dcterms:created xsi:type="dcterms:W3CDTF">1999-11-19T23:38:34Z</dcterms:created>
  <dcterms:modified xsi:type="dcterms:W3CDTF">2026-09-07T10:17:44Z</dcterms:modified>
</cp:coreProperties>
</file>